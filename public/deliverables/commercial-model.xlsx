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b7e7c0816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ics" sheetId="1" r:id="R4b300d13c0804055"/>
    <x:sheet xmlns:r="http://schemas.openxmlformats.org/officeDocument/2006/relationships" name="Rewards" sheetId="2" r:id="R690a7e7c19d74850"/>
    <x:sheet xmlns:r="http://schemas.openxmlformats.org/officeDocument/2006/relationships" name="Sensitivity" sheetId="3" r:id="Rd31d3f3abc3c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;(&quot;$&quot;#,##0.00);&quot;-&quot;"/>
    <x:numFmt numFmtId="201" formatCode="0.0%"/>
    <x:numFmt numFmtId="202" formatCode="#,##0"/>
    <x:numFmt numFmtId="203" formatCode="0%"/>
    <x:numFmt numFmtId="204" formatCode="0.00"/>
  </x:numFmts>
  <x:fonts count="12">
    <x:font>
      <x:sz val="11"/>
      <x:name val="Carlito"/>
    </x:font>
    <x:font>
      <x:sz val="11"/>
      <x:color rgb="FF17343A"/>
      <x:name val="Arial"/>
    </x:font>
    <x:font>
      <x:b/>
      <x:sz val="17"/>
      <x:color rgb="FF17343A"/>
      <x:name val="Arial"/>
    </x:font>
    <x:font>
      <x:i/>
      <x:sz val="10"/>
      <x:color rgb="FF647477"/>
      <x:name val="Arial"/>
    </x:font>
    <x:font>
      <x:b/>
      <x:sz val="11"/>
      <x:color rgb="FFFFFFFF"/>
      <x:name val="Arial"/>
    </x:font>
    <x:font>
      <x:sz val="11"/>
      <x:color rgb="FF111111"/>
      <x:name val="Arial"/>
    </x:font>
    <x:font>
      <x:b/>
      <x:sz val="11"/>
      <x:color rgb="FF17343A"/>
      <x:name val="Arial"/>
    </x:font>
    <x:font>
      <x:sz val="11"/>
      <x:color rgb="FF174DA6"/>
      <x:name val="Arial"/>
    </x:font>
    <x:font>
      <x:sz val="10"/>
      <x:color rgb="FF647477"/>
      <x:name val="Arial"/>
    </x:font>
    <x:font>
      <x:b/>
      <x:sz val="11"/>
      <x:color rgb="FF111111"/>
      <x:name val="Arial"/>
    </x:font>
    <x:font>
      <x:sz val="11"/>
      <x:color rgb="FF14754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43A"/>
      </x:patternFill>
    </x:fill>
    <x:fill>
      <x:patternFill patternType="solid">
        <x:fgColor rgb="FFFFF3D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17343A"/>
      </x:top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4" fillId="2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right" vertical="center"/>
    </x:xf>
    <x:xf numFmtId="200" fontId="7" fillId="3" borderId="0" xfId="0" applyNumberFormat="1" applyFont="1" applyFill="1" applyBorder="1" applyAlignment="1">
      <x:alignment horizontal="right" vertical="center"/>
    </x:xf>
    <x:xf numFmtId="201" fontId="7" fillId="3" borderId="0" xfId="0" applyNumberFormat="1" applyFont="1" applyFill="1" applyBorder="1" applyAlignment="1">
      <x:alignment horizontal="right" vertical="center"/>
    </x:xf>
    <x:xf numFmtId="202" fontId="7" fillId="3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9" fillId="0" borderId="1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/>
    </x:xf>
    <x:xf numFmtId="202" fontId="10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0" fontId="10" fillId="0" borderId="0" xfId="0" applyNumberFormat="1" applyFont="1" applyFill="1" applyBorder="1" applyAlignment="1">
      <x:alignment horizontal="right" vertical="center"/>
    </x:xf>
    <x:xf numFmtId="204" fontId="1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9B352C"/>
      </x:font>
      <x:fill>
        <x:patternFill patternType="solid">
          <x:bgColor rgb="FFFCE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d23536dc74261" /><Relationship Type="http://schemas.openxmlformats.org/officeDocument/2006/relationships/theme" Target="/xl/theme/theme1.xml" Id="R63e4641123dd45ae" /><Relationship Type="http://schemas.openxmlformats.org/officeDocument/2006/relationships/sharedStrings" Target="/xl/sharedStrings.xml" Id="R46e3aae891554461" /><Relationship Type="http://schemas.openxmlformats.org/officeDocument/2006/relationships/worksheet" Target="/xl/worksheets/sheet1.xml" Id="R4b300d13c0804055" /><Relationship Type="http://schemas.openxmlformats.org/officeDocument/2006/relationships/worksheet" Target="/xl/worksheets/sheet2.xml" Id="R690a7e7c19d74850" /><Relationship Type="http://schemas.openxmlformats.org/officeDocument/2006/relationships/worksheet" Target="/xl/worksheets/sheet3.xml" Id="Rd31d3f3abc3c4e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5549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3" hidden="0" customWidth="1"/>
    <x:col min="5" max="5" width="49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33" customHeight="1">
      <x:c r="A2" s="1"/>
      <x:c r="B2" s="45" t="str">
        <x:v>Bellevue Live! Pass commercial model</x:v>
      </x:c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3" t="str">
        <x:v>Illustrative USD economics per completed order</x:v>
      </x:c>
      <x:c r="C4" s="3"/>
      <x:c r="D4" s="3"/>
      <x:c r="E4" s="4" t="str">
        <x:v>Planning assumptions, October 13, 2026. Not a forecast.</x:v>
      </x:c>
      <x:c r="F4" s="3"/>
      <x:c r="G4" s="3"/>
      <x:c r="H4" s="3"/>
    </x:row>
    <x:row r="5" ht="24" customHeight="1">
      <x:c r="A5" s="1"/>
      <x:c r="B5" s="3"/>
      <x:c r="C5" s="3"/>
      <x:c r="D5" s="3"/>
      <x:c r="E5" s="3"/>
      <x:c r="F5" s="3"/>
      <x:c r="G5" s="3"/>
      <x:c r="H5" s="3"/>
    </x:row>
    <x:row r="6" ht="27" customHeight="1">
      <x:c r="A6" s="1"/>
      <x:c r="B6" s="6" t="str">
        <x:v>Headline results</x:v>
      </x:c>
      <x:c r="C6" s="6"/>
      <x:c r="D6" s="3"/>
      <x:c r="E6" s="3"/>
      <x:c r="F6" s="3"/>
      <x:c r="G6" s="3"/>
      <x:c r="H6" s="3"/>
    </x:row>
    <x:row r="7" ht="28" customHeight="1">
      <x:c r="A7" s="1"/>
      <x:c r="B7" s="11" t="str">
        <x:v>Variable contribution per order</x:v>
      </x:c>
      <x:c r="C7" s="35" t="n">
        <x:f>C37</x:f>
        <x:v>13.3</x:v>
      </x:c>
      <x:c r="D7" s="3"/>
      <x:c r="E7" s="3"/>
      <x:c r="F7" s="3"/>
      <x:c r="G7" s="3"/>
      <x:c r="H7" s="3"/>
    </x:row>
    <x:row r="8" ht="28" customHeight="1">
      <x:c r="A8" s="1"/>
      <x:c r="B8" s="11" t="str">
        <x:v>Contribution / gross booking value</x:v>
      </x:c>
      <x:c r="C8" s="36" t="n">
        <x:f>C37/C15</x:f>
        <x:v>0.03166666666666667</x:v>
      </x:c>
      <x:c r="D8" s="3"/>
      <x:c r="E8" s="3"/>
      <x:c r="F8" s="3"/>
      <x:c r="G8" s="3"/>
      <x:c r="H8" s="3"/>
    </x:row>
    <x:row r="9" ht="28" customHeight="1">
      <x:c r="A9" s="1"/>
      <x:c r="B9" s="11" t="str">
        <x:v>Monthly contribution after fixed cost</x:v>
      </x:c>
      <x:c r="C9" s="35" t="n">
        <x:f>C37*C25-C26</x:f>
        <x:v>1300</x:v>
      </x:c>
      <x:c r="D9" s="3"/>
      <x:c r="E9" s="3"/>
      <x:c r="F9" s="3"/>
      <x:c r="G9" s="3"/>
      <x:c r="H9" s="3"/>
    </x:row>
    <x:row r="10" ht="28" customHeight="1">
      <x:c r="A10" s="1"/>
      <x:c r="B10" s="11" t="str">
        <x:v>Orders to cover monthly fixed cost</x:v>
      </x:c>
      <x:c r="C10" s="37" t="n">
        <x:f>IF(C37&gt;0,ROUNDUP(C26/C37,0),"n.a.")</x:f>
        <x:v>903</x:v>
      </x:c>
      <x:c r="D10" s="3"/>
      <x:c r="E10" s="3"/>
      <x:c r="F10" s="3"/>
      <x:c r="G10" s="3"/>
      <x:c r="H10" s="3"/>
    </x:row>
    <x:row r="11" ht="24" customHeight="1">
      <x:c r="A11" s="1"/>
      <x:c r="B11" s="3"/>
      <x:c r="C11" s="38"/>
      <x:c r="D11" s="3"/>
      <x:c r="E11" s="3"/>
      <x:c r="F11" s="3"/>
      <x:c r="G11" s="3"/>
      <x:c r="H11" s="3"/>
    </x:row>
    <x:row r="12" ht="24" customHeight="1">
      <x:c r="A12" s="1"/>
      <x:c r="B12" s="3"/>
      <x:c r="C12" s="38"/>
      <x:c r="D12" s="3"/>
      <x:c r="E12" s="3"/>
      <x:c r="F12" s="3"/>
      <x:c r="G12" s="3"/>
      <x:c r="H12" s="3"/>
    </x:row>
    <x:row r="13" ht="27" customHeight="1">
      <x:c r="A13" s="1"/>
      <x:c r="B13" s="6" t="str">
        <x:v>Editable assumptions</x:v>
      </x:c>
      <x:c r="C13" s="39"/>
      <x:c r="D13" s="3"/>
      <x:c r="E13" s="3"/>
      <x:c r="F13" s="3"/>
      <x:c r="G13" s="3"/>
      <x:c r="H13" s="3"/>
    </x:row>
    <x:row r="14" ht="24" customHeight="1">
      <x:c r="A14" s="1"/>
      <x:c r="B14" s="3"/>
      <x:c r="C14" s="38"/>
      <x:c r="D14" s="3"/>
      <x:c r="E14" s="3"/>
      <x:c r="F14" s="3"/>
      <x:c r="G14" s="3"/>
      <x:c r="H14" s="3"/>
    </x:row>
    <x:row r="15" ht="24" customHeight="1">
      <x:c r="A15" s="1"/>
      <x:c r="B15" s="3" t="str">
        <x:v>Average gross booking value</x:v>
      </x:c>
      <x:c r="C15" s="40" t="n">
        <x:v>420</x:v>
      </x:c>
      <x:c r="D15" s="3"/>
      <x:c r="E15" s="18" t="str">
        <x:v>Sample mixed event, hospitality and transport basket.</x:v>
      </x:c>
      <x:c r="F15" s="3"/>
      <x:c r="G15" s="3"/>
      <x:c r="H15" s="3"/>
    </x:row>
    <x:row r="16" ht="24" customHeight="1">
      <x:c r="A16" s="1"/>
      <x:c r="B16" s="3" t="str">
        <x:v>Platform revenue share</x:v>
      </x:c>
      <x:c r="C16" s="41" t="n">
        <x:v>0.08</x:v>
      </x:c>
      <x:c r="D16" s="3"/>
      <x:c r="E16" s="18" t="str">
        <x:v>Commission / service revenue, not all supplier receipts.</x:v>
      </x:c>
      <x:c r="F16" s="3"/>
      <x:c r="G16" s="3"/>
      <x:c r="H16" s="3"/>
    </x:row>
    <x:row r="17" ht="24" customHeight="1">
      <x:c r="A17" s="1"/>
      <x:c r="B17" s="3" t="str">
        <x:v>Processing rate on gross booking value</x:v>
      </x:c>
      <x:c r="C17" s="41" t="n">
        <x:v>0.025</x:v>
      </x:c>
      <x:c r="D17" s="3"/>
      <x:c r="E17" s="18" t="str">
        <x:v>Assumes platform bears processing on the full basket.</x:v>
      </x:c>
      <x:c r="F17" s="3"/>
      <x:c r="G17" s="3"/>
      <x:c r="H17" s="3"/>
    </x:row>
    <x:row r="18" ht="24" customHeight="1">
      <x:c r="A18" s="1"/>
      <x:c r="B18" s="3" t="str">
        <x:v>Processing fixed fee per order</x:v>
      </x:c>
      <x:c r="C18" s="40" t="n">
        <x:v>0.3</x:v>
      </x:c>
      <x:c r="D18" s="3"/>
      <x:c r="E18" s="18" t="str">
        <x:v>Illustrative provider cost; no payment contract exists.</x:v>
      </x:c>
      <x:c r="F18" s="3"/>
      <x:c r="G18" s="3"/>
      <x:c r="H18" s="3"/>
    </x:row>
    <x:row r="19" ht="24" customHeight="1">
      <x:c r="A19" s="1"/>
      <x:c r="B19" s="3" t="str">
        <x:v>Variable support per order</x:v>
      </x:c>
      <x:c r="C19" s="40" t="n">
        <x:v>3.5</x:v>
      </x:c>
      <x:c r="D19" s="3"/>
      <x:c r="E19" s="18" t="str">
        <x:v>Includes a service-recovery allowance.</x:v>
      </x:c>
      <x:c r="F19" s="3"/>
      <x:c r="G19" s="3"/>
      <x:c r="H19" s="3"/>
    </x:row>
    <x:row r="20" ht="24" customHeight="1">
      <x:c r="A20" s="1"/>
      <x:c r="B20" s="3" t="str">
        <x:v>Refund and chargeback reserve</x:v>
      </x:c>
      <x:c r="C20" s="41" t="n">
        <x:v>0.01</x:v>
      </x:c>
      <x:c r="D20" s="3"/>
      <x:c r="E20" s="18" t="str">
        <x:v>Applied to gross booking value.</x:v>
      </x:c>
      <x:c r="F20" s="3"/>
      <x:c r="G20" s="3"/>
      <x:c r="H20" s="3"/>
    </x:row>
    <x:row r="21" ht="24" customHeight="1">
      <x:c r="A21" s="1"/>
      <x:c r="B21" s="3" t="str">
        <x:v>Reward earned probability per order</x:v>
      </x:c>
      <x:c r="C21" s="41" t="n">
        <x:v>0.2</x:v>
      </x:c>
      <x:c r="D21" s="3"/>
      <x:c r="E21" s="18" t="str">
        <x:v>Expected share earning a benefit; not observed.</x:v>
      </x:c>
      <x:c r="F21" s="3"/>
      <x:c r="G21" s="3"/>
      <x:c r="H21" s="3"/>
    </x:row>
    <x:row r="22" ht="24" customHeight="1">
      <x:c r="A22" s="1"/>
      <x:c r="B22" s="3" t="str">
        <x:v>Reward redemption probability</x:v>
      </x:c>
      <x:c r="C22" s="41" t="n">
        <x:v>0.5</x:v>
      </x:c>
      <x:c r="D22" s="3"/>
      <x:c r="E22" s="18" t="str">
        <x:v>Expected redemption among earned benefits.</x:v>
      </x:c>
      <x:c r="F22" s="3"/>
      <x:c r="G22" s="3"/>
      <x:c r="H22" s="3"/>
    </x:row>
    <x:row r="23" ht="24" customHeight="1">
      <x:c r="A23" s="1"/>
      <x:c r="B23" s="3" t="str">
        <x:v>Supplier reimbursement per redemption</x:v>
      </x:c>
      <x:c r="C23" s="40" t="n">
        <x:v>18</x:v>
      </x:c>
      <x:c r="D23" s="3"/>
      <x:c r="E23" s="18" t="str">
        <x:v>Contractual payment assumption, not retail face value.</x:v>
      </x:c>
      <x:c r="F23" s="3"/>
      <x:c r="G23" s="3"/>
      <x:c r="H23" s="3"/>
    </x:row>
    <x:row r="24" ht="24" customHeight="1">
      <x:c r="A24" s="1"/>
      <x:c r="B24" s="3" t="str">
        <x:v>Partner funding per redemption</x:v>
      </x:c>
      <x:c r="C24" s="40" t="n">
        <x:v>0</x:v>
      </x:c>
      <x:c r="D24" s="3"/>
      <x:c r="E24" s="18" t="str">
        <x:v>Separate agreed contribution, if any.</x:v>
      </x:c>
      <x:c r="F24" s="3"/>
      <x:c r="G24" s="3"/>
      <x:c r="H24" s="3"/>
    </x:row>
    <x:row r="25" ht="24" customHeight="1">
      <x:c r="A25" s="1"/>
      <x:c r="B25" s="3" t="str">
        <x:v>Completed orders per month</x:v>
      </x:c>
      <x:c r="C25" s="42" t="n">
        <x:v>1000</x:v>
      </x:c>
      <x:c r="D25" s="3"/>
      <x:c r="E25" s="18" t="str">
        <x:v>Illustrative volume; excludes duplicate supplier records.</x:v>
      </x:c>
      <x:c r="F25" s="3"/>
      <x:c r="G25" s="3"/>
      <x:c r="H25" s="3"/>
    </x:row>
    <x:row r="26" ht="24" customHeight="1">
      <x:c r="A26" s="1"/>
      <x:c r="B26" s="3" t="str">
        <x:v>Monthly fixed operating cost</x:v>
      </x:c>
      <x:c r="C26" s="40" t="n">
        <x:v>12000</x:v>
      </x:c>
      <x:c r="D26" s="3"/>
      <x:c r="E26" s="18" t="str">
        <x:v>Illustrative overhead; acquisition cost not separately modeled.</x:v>
      </x:c>
      <x:c r="F26" s="3"/>
      <x:c r="G26" s="3"/>
      <x:c r="H26" s="3"/>
    </x:row>
    <x:row r="27" ht="24" customHeight="1">
      <x:c r="A27" s="1"/>
      <x:c r="B27" s="3"/>
      <x:c r="C27" s="38"/>
      <x:c r="D27" s="3"/>
      <x:c r="E27" s="3"/>
      <x:c r="F27" s="3"/>
      <x:c r="G27" s="3"/>
      <x:c r="H27" s="3"/>
    </x:row>
    <x:row r="28" ht="24" customHeight="1">
      <x:c r="A28" s="1"/>
      <x:c r="B28" s="3"/>
      <x:c r="C28" s="38"/>
      <x:c r="D28" s="3"/>
      <x:c r="E28" s="3"/>
      <x:c r="F28" s="3"/>
      <x:c r="G28" s="3"/>
      <x:c r="H28" s="3"/>
    </x:row>
    <x:row r="29" ht="27" customHeight="1">
      <x:c r="A29" s="1"/>
      <x:c r="B29" s="6" t="str">
        <x:v>Per-order calculation</x:v>
      </x:c>
      <x:c r="C29" s="39"/>
      <x:c r="D29" s="3"/>
      <x:c r="E29" s="3"/>
      <x:c r="F29" s="3"/>
      <x:c r="G29" s="3"/>
      <x:c r="H29" s="3"/>
    </x:row>
    <x:row r="30" ht="24" customHeight="1">
      <x:c r="A30" s="1"/>
      <x:c r="B30" s="3" t="str">
        <x:v>Platform revenue</x:v>
      </x:c>
      <x:c r="C30" s="43" t="n">
        <x:f>C15*C16</x:f>
        <x:v>33.6</x:v>
      </x:c>
      <x:c r="D30" s="3"/>
      <x:c r="E30" s="3"/>
      <x:c r="F30" s="3"/>
      <x:c r="G30" s="3"/>
      <x:c r="H30" s="3"/>
    </x:row>
    <x:row r="31" ht="24" customHeight="1">
      <x:c r="A31" s="1"/>
      <x:c r="B31" s="3" t="str">
        <x:v>Payment processing</x:v>
      </x:c>
      <x:c r="C31" s="43" t="n">
        <x:f>C15*C17+C18</x:f>
        <x:v>10.8</x:v>
      </x:c>
      <x:c r="D31" s="3"/>
      <x:c r="E31" s="3"/>
      <x:c r="F31" s="3"/>
      <x:c r="G31" s="3"/>
      <x:c r="H31" s="3"/>
    </x:row>
    <x:row r="32" ht="24" customHeight="1">
      <x:c r="A32" s="1"/>
      <x:c r="B32" s="3" t="str">
        <x:v>Variable support</x:v>
      </x:c>
      <x:c r="C32" s="43" t="n">
        <x:f>C19</x:f>
        <x:v>3.5</x:v>
      </x:c>
      <x:c r="D32" s="3"/>
      <x:c r="E32" s="3"/>
      <x:c r="F32" s="3"/>
      <x:c r="G32" s="3"/>
      <x:c r="H32" s="3"/>
    </x:row>
    <x:row r="33" ht="24" customHeight="1">
      <x:c r="A33" s="1"/>
      <x:c r="B33" s="3" t="str">
        <x:v>Refund reserve</x:v>
      </x:c>
      <x:c r="C33" s="43" t="n">
        <x:f>C15*C20</x:f>
        <x:v>4.2</x:v>
      </x:c>
      <x:c r="D33" s="3"/>
      <x:c r="E33" s="3"/>
      <x:c r="F33" s="3"/>
      <x:c r="G33" s="3"/>
      <x:c r="H33" s="3"/>
    </x:row>
    <x:row r="34" ht="24" customHeight="1">
      <x:c r="A34" s="1"/>
      <x:c r="B34" s="3" t="str">
        <x:v>Expected reward reimbursements</x:v>
      </x:c>
      <x:c r="C34" s="43" t="n">
        <x:f>C21*C22*C23</x:f>
        <x:v>1.8</x:v>
      </x:c>
      <x:c r="D34" s="3"/>
      <x:c r="E34" s="3"/>
      <x:c r="F34" s="3"/>
      <x:c r="G34" s="3"/>
      <x:c r="H34" s="3"/>
    </x:row>
    <x:row r="35" ht="24" customHeight="1">
      <x:c r="A35" s="1"/>
      <x:c r="B35" s="3" t="str">
        <x:v>Expected partner contributions</x:v>
      </x:c>
      <x:c r="C35" s="43" t="n">
        <x:f>C21*C22*C24</x:f>
        <x:v>0</x:v>
      </x:c>
      <x:c r="D35" s="3"/>
      <x:c r="E35" s="3"/>
      <x:c r="F35" s="3"/>
      <x:c r="G35" s="3"/>
      <x:c r="H35" s="3"/>
    </x:row>
    <x:row r="36" ht="24" customHeight="1">
      <x:c r="A36" s="1"/>
      <x:c r="B36" s="3" t="str">
        <x:v>Total variable costs, net of funding</x:v>
      </x:c>
      <x:c r="C36" s="43" t="n">
        <x:f>SUM(C31:C34)-C35</x:f>
        <x:v>20.3</x:v>
      </x:c>
      <x:c r="D36" s="3"/>
      <x:c r="E36" s="3"/>
      <x:c r="F36" s="3"/>
      <x:c r="G36" s="3"/>
      <x:c r="H36" s="3"/>
    </x:row>
    <x:row r="37" ht="24" customHeight="1">
      <x:c r="A37" s="1"/>
      <x:c r="B37" s="23" t="str">
        <x:v>Variable contribution</x:v>
      </x:c>
      <x:c r="C37" s="44" t="n">
        <x:f>C30-C36</x:f>
        <x:v>13.3</x:v>
      </x:c>
      <x:c r="D37" s="3"/>
      <x:c r="E37" s="3"/>
      <x:c r="F37" s="3"/>
      <x:c r="G37" s="3"/>
      <x:c r="H37" s="3"/>
    </x:row>
    <x:row r="38" ht="24" customHeight="1">
      <x:c r="A38" s="1"/>
      <x:c r="B38" s="3"/>
      <x:c r="C38" s="3"/>
      <x:c r="D38" s="3"/>
      <x:c r="E38" s="3"/>
      <x:c r="F38" s="3"/>
      <x:c r="G38" s="3"/>
      <x:c r="H38" s="3"/>
    </x:row>
    <x:row r="39" ht="24" customHeight="1">
      <x:c r="A39" s="1"/>
      <x:c r="B39" s="3"/>
      <x:c r="C39" s="3"/>
      <x:c r="D39" s="3"/>
      <x:c r="E39" s="3"/>
      <x:c r="F39" s="3"/>
      <x:c r="G39" s="3"/>
      <x:c r="H39" s="3"/>
    </x:row>
    <x:row r="40" ht="24" customHeight="1">
      <x:c r="A40" s="1"/>
      <x:c r="B40" s="18" t="str">
        <x:v>Input convention: blue numbers on amber fill are editable.</x:v>
      </x:c>
      <x:c r="C40" s="18"/>
      <x:c r="D40" s="18"/>
      <x:c r="E40" s="18"/>
      <x:c r="F40" s="18"/>
      <x:c r="G40" s="18"/>
      <x:c r="H40" s="18"/>
    </x:row>
    <x:row r="41" ht="24" customHeight="1">
      <x:c r="A41" s="1"/>
      <x:c r="B41" s="18" t="str">
        <x:v>Source: all numeric inputs are explicit project assumptions.</x:v>
      </x:c>
      <x:c r="C41" s="18"/>
      <x:c r="D41" s="18"/>
      <x:c r="E41" s="18"/>
      <x:c r="F41" s="18"/>
      <x:c r="G41" s="18"/>
      <x:c r="H41" s="18"/>
    </x:row>
    <x:row r="42" ht="24" customHeight="1">
      <x:c r="A42" s="1"/>
      <x:c r="B42" s="18" t="str">
        <x:v>Excluded: capital expenditure, tax, financing, acquisition spend and owner returns.</x:v>
      </x:c>
      <x:c r="C42" s="18"/>
      <x:c r="D42" s="18"/>
      <x:c r="E42" s="18"/>
      <x:c r="F42" s="18"/>
      <x:c r="G42" s="18"/>
      <x:c r="H42" s="18"/>
    </x:row>
    <x:row r="43" ht="24" customHeight="1">
      <x:c r="A43" s="1"/>
      <x:c r="B43" s="3"/>
      <x:c r="C43" s="3"/>
      <x:c r="D43" s="3"/>
      <x:c r="E43" s="3"/>
      <x:c r="F43" s="3"/>
      <x:c r="G43" s="3"/>
      <x:c r="H43" s="3"/>
    </x:row>
  </x:sheetData>
  <x:dataValidations count="2">
    <x:dataValidation type="decimal" operator="between" sqref="C16:C17">
      <x:formula1>0</x:formula1>
      <x:formula2>1</x:formula2>
    </x:dataValidation>
    <x:dataValidation type="decimal" operator="between" sqref="C20:C22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5549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3" hidden="0" customWidth="1"/>
    <x:col min="5" max="5" width="49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33" customHeight="1">
      <x:c r="A2" s="1"/>
      <x:c r="B2" s="45" t="str">
        <x:v>Reward funding and VIP feasibility</x:v>
      </x:c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3" t="str">
        <x:v>Capacity and reimbursement must be contracted before launch.</x:v>
      </x:c>
      <x:c r="C4" s="3"/>
      <x:c r="D4" s="3"/>
      <x:c r="E4" s="3"/>
      <x:c r="F4" s="3"/>
      <x:c r="G4" s="3"/>
      <x:c r="H4" s="3"/>
    </x:row>
    <x:row r="5" ht="24" customHeight="1">
      <x:c r="A5" s="1"/>
      <x:c r="B5" s="3"/>
      <x:c r="C5" s="3"/>
      <x:c r="D5" s="3"/>
      <x:c r="E5" s="3"/>
      <x:c r="F5" s="3"/>
      <x:c r="G5" s="3"/>
      <x:c r="H5" s="3"/>
    </x:row>
    <x:row r="6" ht="27" customHeight="1">
      <x:c r="A6" s="1"/>
      <x:c r="B6" s="6" t="str">
        <x:v>Reward inventory</x:v>
      </x:c>
      <x:c r="C6" s="6"/>
      <x:c r="D6" s="3"/>
      <x:c r="E6" s="3"/>
      <x:c r="F6" s="3"/>
      <x:c r="G6" s="3"/>
      <x:c r="H6" s="3"/>
    </x:row>
    <x:row r="7" ht="24" customHeight="1">
      <x:c r="A7" s="1"/>
      <x:c r="B7" s="3"/>
      <x:c r="C7" s="38"/>
      <x:c r="D7" s="3"/>
      <x:c r="E7" s="3"/>
      <x:c r="F7" s="3"/>
      <x:c r="G7" s="3"/>
      <x:c r="H7" s="3"/>
    </x:row>
    <x:row r="8" ht="24" customHeight="1">
      <x:c r="A8" s="1"/>
      <x:c r="B8" s="3" t="str">
        <x:v>Qualifying orders in campaign</x:v>
      </x:c>
      <x:c r="C8" s="42" t="n">
        <x:v>1000</x:v>
      </x:c>
      <x:c r="D8" s="3"/>
      <x:c r="E8" s="18" t="str">
        <x:v>Distinct completed orders in the selected campaign.</x:v>
      </x:c>
      <x:c r="F8" s="3"/>
      <x:c r="G8" s="3"/>
      <x:c r="H8" s="3"/>
    </x:row>
    <x:row r="9" ht="24" customHeight="1">
      <x:c r="A9" s="1"/>
      <x:c r="B9" s="3" t="str">
        <x:v>Expected benefits earned</x:v>
      </x:c>
      <x:c r="C9" s="46" t="n">
        <x:f>C8*'Economics'!C21</x:f>
        <x:v>200</x:v>
      </x:c>
      <x:c r="D9" s="3"/>
      <x:c r="E9" s="3"/>
      <x:c r="F9" s="3"/>
      <x:c r="G9" s="3"/>
      <x:c r="H9" s="3"/>
    </x:row>
    <x:row r="10" ht="24" customHeight="1">
      <x:c r="A10" s="1"/>
      <x:c r="B10" s="3" t="str">
        <x:v>Expected redemptions</x:v>
      </x:c>
      <x:c r="C10" s="46" t="n">
        <x:f>C9*'Economics'!C22</x:f>
        <x:v>100</x:v>
      </x:c>
      <x:c r="D10" s="3"/>
      <x:c r="E10" s="3"/>
      <x:c r="F10" s="3"/>
      <x:c r="G10" s="3"/>
      <x:c r="H10" s="3"/>
    </x:row>
    <x:row r="11" ht="24" customHeight="1">
      <x:c r="A11" s="1"/>
      <x:c r="B11" s="3" t="str">
        <x:v>Reserved promotional admissions</x:v>
      </x:c>
      <x:c r="C11" s="42" t="n">
        <x:v>120</x:v>
      </x:c>
      <x:c r="D11" s="3"/>
      <x:c r="E11" s="18" t="str">
        <x:v>Separate reward allotment, not general public inventory.</x:v>
      </x:c>
      <x:c r="F11" s="3"/>
      <x:c r="G11" s="3"/>
      <x:c r="H11" s="3"/>
    </x:row>
    <x:row r="12" ht="24" customHeight="1">
      <x:c r="A12" s="1"/>
      <x:c r="B12" s="3" t="str">
        <x:v>Inventory surplus / shortfall</x:v>
      </x:c>
      <x:c r="C12" s="47" t="n">
        <x:f>C11-C10</x:f>
        <x:v>20</x:v>
      </x:c>
      <x:c r="D12" s="3"/>
      <x:c r="E12" s="3"/>
      <x:c r="F12" s="3"/>
      <x:c r="G12" s="3"/>
      <x:c r="H12" s="3"/>
    </x:row>
    <x:row r="13" ht="24" customHeight="1">
      <x:c r="A13" s="1"/>
      <x:c r="B13" s="3" t="str">
        <x:v>Required reimbursement funding</x:v>
      </x:c>
      <x:c r="C13" s="48" t="n">
        <x:f>C10*'Economics'!C23</x:f>
        <x:v>1800</x:v>
      </x:c>
      <x:c r="D13" s="3"/>
      <x:c r="E13" s="3"/>
      <x:c r="F13" s="3"/>
      <x:c r="G13" s="3"/>
      <x:c r="H13" s="3"/>
    </x:row>
    <x:row r="14" ht="24" customHeight="1">
      <x:c r="A14" s="1"/>
      <x:c r="B14" s="3" t="str">
        <x:v>Agreed partner contribution</x:v>
      </x:c>
      <x:c r="C14" s="48" t="n">
        <x:f>C10*'Economics'!C24</x:f>
        <x:v>0</x:v>
      </x:c>
      <x:c r="D14" s="3"/>
      <x:c r="E14" s="3"/>
      <x:c r="F14" s="3"/>
      <x:c r="G14" s="3"/>
      <x:c r="H14" s="3"/>
    </x:row>
    <x:row r="15" ht="24" customHeight="1">
      <x:c r="A15" s="1"/>
      <x:c r="B15" s="3" t="str">
        <x:v>Net campaign reward funding</x:v>
      </x:c>
      <x:c r="C15" s="43" t="n">
        <x:f>C13-C14</x:f>
        <x:v>1800</x:v>
      </x:c>
      <x:c r="D15" s="3"/>
      <x:c r="E15" s="3"/>
      <x:c r="F15" s="3"/>
      <x:c r="G15" s="3"/>
      <x:c r="H15" s="3"/>
    </x:row>
    <x:row r="16" ht="24" customHeight="1">
      <x:c r="A16" s="1"/>
      <x:c r="B16" s="3"/>
      <x:c r="C16" s="38"/>
      <x:c r="D16" s="3"/>
      <x:c r="E16" s="3"/>
      <x:c r="F16" s="3"/>
      <x:c r="G16" s="3"/>
      <x:c r="H16" s="3"/>
    </x:row>
    <x:row r="17" ht="24" customHeight="1">
      <x:c r="A17" s="1"/>
      <x:c r="B17" s="3"/>
      <x:c r="C17" s="38"/>
      <x:c r="D17" s="3"/>
      <x:c r="E17" s="3"/>
      <x:c r="F17" s="3"/>
      <x:c r="G17" s="3"/>
      <x:c r="H17" s="3"/>
    </x:row>
    <x:row r="18" ht="27" customHeight="1">
      <x:c r="A18" s="1"/>
      <x:c r="B18" s="6" t="str">
        <x:v>VIP threshold evaluation</x:v>
      </x:c>
      <x:c r="C18" s="39"/>
      <x:c r="D18" s="3"/>
      <x:c r="E18" s="3"/>
      <x:c r="F18" s="3"/>
      <x:c r="G18" s="3"/>
      <x:c r="H18" s="3"/>
    </x:row>
    <x:row r="19" ht="24" customHeight="1">
      <x:c r="A19" s="1"/>
      <x:c r="B19" s="3"/>
      <x:c r="C19" s="38"/>
      <x:c r="D19" s="3"/>
      <x:c r="E19" s="3"/>
      <x:c r="F19" s="3"/>
      <x:c r="G19" s="3"/>
      <x:c r="H19" s="3"/>
    </x:row>
    <x:row r="20" ht="24" customHeight="1">
      <x:c r="A20" s="1"/>
      <x:c r="B20" s="3" t="str">
        <x:v>Qualifying customer spend</x:v>
      </x:c>
      <x:c r="C20" s="40" t="n">
        <x:v>10000</x:v>
      </x:c>
      <x:c r="D20" s="3"/>
      <x:c r="E20" s="18" t="str">
        <x:v>Illustrative threshold; refunds reduce qualifying spend.</x:v>
      </x:c>
      <x:c r="F20" s="3"/>
      <x:c r="G20" s="3"/>
      <x:c r="H20" s="3"/>
    </x:row>
    <x:row r="21" ht="24" customHeight="1">
      <x:c r="A21" s="1"/>
      <x:c r="B21" s="3" t="str">
        <x:v>Benefit reimbursement cap</x:v>
      </x:c>
      <x:c r="C21" s="40" t="n">
        <x:v>250</x:v>
      </x:c>
      <x:c r="D21" s="3"/>
      <x:c r="E21" s="18" t="str">
        <x:v>Lounge and dining experience for two; no restricted access.</x:v>
      </x:c>
      <x:c r="F21" s="3"/>
      <x:c r="G21" s="3"/>
      <x:c r="H21" s="3"/>
    </x:row>
    <x:row r="22" ht="24" customHeight="1">
      <x:c r="A22" s="1"/>
      <x:c r="B22" s="3" t="str">
        <x:v>VIP redemption probability</x:v>
      </x:c>
      <x:c r="C22" s="41" t="n">
        <x:v>0.6</x:v>
      </x:c>
      <x:c r="D22" s="3"/>
      <x:c r="E22" s="18" t="str">
        <x:v>Illustrative; separate from ordinary reward redemption.</x:v>
      </x:c>
      <x:c r="F22" s="3"/>
      <x:c r="G22" s="3"/>
      <x:c r="H22" s="3"/>
    </x:row>
    <x:row r="23" ht="24" customHeight="1">
      <x:c r="A23" s="1"/>
      <x:c r="B23" s="3" t="str">
        <x:v>Contribution before VIP benefit</x:v>
      </x:c>
      <x:c r="C23" s="48" t="n">
        <x:f>C20*'Economics'!C8</x:f>
        <x:v>316.6666666666667</x:v>
      </x:c>
      <x:c r="D23" s="3"/>
      <x:c r="E23" s="3"/>
      <x:c r="F23" s="3"/>
      <x:c r="G23" s="3"/>
      <x:c r="H23" s="3"/>
    </x:row>
    <x:row r="24" ht="24" customHeight="1">
      <x:c r="A24" s="1"/>
      <x:c r="B24" s="3" t="str">
        <x:v>Expected VIP benefit cost</x:v>
      </x:c>
      <x:c r="C24" s="43" t="n">
        <x:f>C21*C22</x:f>
        <x:v>150</x:v>
      </x:c>
      <x:c r="D24" s="3"/>
      <x:c r="E24" s="3"/>
      <x:c r="F24" s="3"/>
      <x:c r="G24" s="3"/>
      <x:c r="H24" s="3"/>
    </x:row>
    <x:row r="25" ht="24" customHeight="1">
      <x:c r="A25" s="1"/>
      <x:c r="B25" s="3" t="str">
        <x:v>Contribution after VIP benefit</x:v>
      </x:c>
      <x:c r="C25" s="43" t="n">
        <x:f>C23-C24</x:f>
        <x:v>166.66666666666669</x:v>
      </x:c>
      <x:c r="D25" s="3"/>
      <x:c r="E25" s="18" t="str">
        <x:v>Before fixed overhead, acquisition, capital and tax.</x:v>
      </x:c>
      <x:c r="F25" s="3"/>
      <x:c r="G25" s="3"/>
      <x:c r="H25" s="3"/>
    </x:row>
    <x:row r="26" ht="24" customHeight="1">
      <x:c r="A26" s="1"/>
      <x:c r="B26" s="3"/>
      <x:c r="C26" s="38"/>
      <x:c r="D26" s="3"/>
      <x:c r="E26" s="3"/>
      <x:c r="F26" s="3"/>
      <x:c r="G26" s="3"/>
      <x:c r="H26" s="3"/>
    </x:row>
    <x:row r="27" ht="24" customHeight="1">
      <x:c r="A27" s="1"/>
      <x:c r="B27" s="3"/>
      <x:c r="C27" s="38"/>
      <x:c r="D27" s="3"/>
      <x:c r="E27" s="3"/>
      <x:c r="F27" s="3"/>
      <x:c r="G27" s="3"/>
      <x:c r="H27" s="3"/>
    </x:row>
    <x:row r="28" ht="27" customHeight="1">
      <x:c r="A28" s="1"/>
      <x:c r="B28" s="6" t="str">
        <x:v>Program design</x:v>
      </x:c>
      <x:c r="C28" s="39"/>
      <x:c r="D28" s="3"/>
      <x:c r="E28" s="3"/>
      <x:c r="F28" s="3"/>
      <x:c r="G28" s="3"/>
      <x:c r="H28" s="3"/>
    </x:row>
    <x:row r="29" ht="24" customHeight="1">
      <x:c r="A29" s="1"/>
      <x:c r="B29" s="3"/>
      <x:c r="C29" s="38"/>
      <x:c r="D29" s="3"/>
      <x:c r="E29" s="3"/>
      <x:c r="F29" s="3"/>
      <x:c r="G29" s="3"/>
      <x:c r="H29" s="3"/>
    </x:row>
    <x:row r="30" ht="24" customHeight="1">
      <x:c r="A30" s="1"/>
      <x:c r="B30" s="3" t="str">
        <x:v>Three paid basketball tickets</x:v>
      </x:c>
      <x:c r="C30" s="38"/>
      <x:c r="D30" s="3"/>
      <x:c r="E30" s="3" t="str">
        <x:v>One eligible Tulalip admission; refunded tickets removed.</x:v>
      </x:c>
      <x:c r="F30" s="3"/>
      <x:c r="G30" s="3"/>
      <x:c r="H30" s="3"/>
    </x:row>
    <x:row r="31" ht="24" customHeight="1">
      <x:c r="A31" s="1"/>
      <x:c r="B31" s="3" t="str">
        <x:v>Three distinct attended basketball events</x:v>
      </x:c>
      <x:c r="C31" s="38"/>
      <x:c r="D31" s="3"/>
      <x:c r="E31" s="3" t="str">
        <x:v>Separate repeat-visit campaign, same demo benefit pool.</x:v>
      </x:c>
      <x:c r="F31" s="3"/>
      <x:c r="G31" s="3"/>
      <x:c r="H31" s="3"/>
    </x:row>
    <x:row r="32" ht="24" customHeight="1">
      <x:c r="A32" s="1"/>
      <x:c r="B32" s="3" t="str">
        <x:v>Ten qualifying paid event tickets</x:v>
      </x:c>
      <x:c r="C32" s="38"/>
      <x:c r="D32" s="3"/>
      <x:c r="E32" s="3" t="str">
        <x:v>One curated complimentary admission.</x:v>
      </x:c>
      <x:c r="F32" s="3"/>
      <x:c r="G32" s="3"/>
      <x:c r="H32" s="3"/>
    </x:row>
    <x:row r="33" ht="24" customHeight="1">
      <x:c r="A33" s="1"/>
      <x:c r="B33" s="3"/>
      <x:c r="C33" s="38"/>
      <x:c r="D33" s="3"/>
      <x:c r="E33" s="3"/>
      <x:c r="F33" s="3"/>
      <x:c r="G33" s="3"/>
      <x:c r="H33" s="3"/>
    </x:row>
    <x:row r="34" ht="24" customHeight="1">
      <x:c r="A34" s="1"/>
      <x:c r="B34" s="3" t="str">
        <x:v>One complimentary offer per demo account</x:v>
      </x:c>
      <x:c r="C34" s="38"/>
      <x:c r="D34" s="3"/>
      <x:c r="E34" s="3" t="str">
        <x:v>No automatic stacking across campaigns.</x:v>
      </x:c>
      <x:c r="F34" s="3"/>
      <x:c r="G34" s="3"/>
      <x:c r="H34" s="3"/>
    </x:row>
    <x:row r="35" ht="24" customHeight="1">
      <x:c r="A35" s="1"/>
      <x:c r="B35" s="3" t="str">
        <x:v>Reward expiry</x:v>
      </x:c>
      <x:c r="C35" s="38"/>
      <x:c r="D35" s="3"/>
      <x:c r="E35" s="3" t="str">
        <x:v>December 31, 2026 for demonstration offers.</x:v>
      </x:c>
      <x:c r="F35" s="3"/>
      <x:c r="G35" s="3"/>
      <x:c r="H35" s="3"/>
    </x:row>
    <x:row r="36" ht="24" customHeight="1">
      <x:c r="A36" s="1"/>
      <x:c r="B36" s="3"/>
      <x:c r="C36" s="38"/>
      <x:c r="D36" s="3"/>
      <x:c r="E36" s="3"/>
      <x:c r="F36" s="3"/>
      <x:c r="G36" s="3"/>
      <x:c r="H36" s="3"/>
    </x:row>
    <x:row r="37" ht="24" customHeight="1">
      <x:c r="A37" s="1"/>
      <x:c r="B37" s="3" t="str">
        <x:v>Refunds after redemption</x:v>
      </x:c>
      <x:c r="C37" s="38"/>
      <x:c r="D37" s="3"/>
      <x:c r="E37" s="3" t="str">
        <x:v>Flag for review; do not silently levy a new charge.</x:v>
      </x:c>
      <x:c r="F37" s="3"/>
      <x:c r="G37" s="3"/>
      <x:c r="H37" s="3"/>
    </x:row>
    <x:row r="38" ht="24" customHeight="1">
      <x:c r="A38" s="1"/>
      <x:c r="B38" s="3" t="str">
        <x:v>Partner reimbursement</x:v>
      </x:c>
      <x:c r="C38" s="3"/>
      <x:c r="D38" s="3"/>
      <x:c r="E38" s="3" t="str">
        <x:v>Reconcile redeemed admission IDs, refunds and settlement.</x:v>
      </x:c>
      <x:c r="F38" s="3"/>
      <x:c r="G38" s="3"/>
      <x:c r="H38" s="3"/>
    </x:row>
    <x:row r="39" ht="24" customHeight="1">
      <x:c r="A39" s="1"/>
      <x:c r="B39" s="3"/>
      <x:c r="C39" s="3"/>
      <x:c r="D39" s="3"/>
      <x:c r="E39" s="3"/>
      <x:c r="F39" s="3"/>
      <x:c r="G39" s="3"/>
      <x:c r="H39" s="3"/>
    </x:row>
    <x:row r="40" ht="24" customHeight="1">
      <x:c r="A40" s="1"/>
      <x:c r="B40" s="3" t="str">
        <x:v>Source: program rules and all values are project assumptions.</x:v>
      </x:c>
      <x:c r="C40" s="3"/>
      <x:c r="D40" s="3"/>
      <x:c r="E40" s="3"/>
      <x:c r="F40" s="3"/>
      <x:c r="G40" s="3"/>
      <x:c r="H40" s="3"/>
    </x:row>
    <x:row r="41" ht="24" customHeight="1">
      <x:c r="A41" s="1"/>
      <x:c r="B41" s="3"/>
      <x:c r="C41" s="3"/>
      <x:c r="D41" s="3"/>
      <x:c r="E41" s="3"/>
      <x:c r="F41" s="3"/>
      <x:c r="G41" s="3"/>
      <x:c r="H41" s="3"/>
    </x:row>
    <x:row r="42" ht="24" customHeight="1">
      <x:c r="A42" s="1"/>
      <x:c r="B42" s="3"/>
      <x:c r="C42" s="3"/>
      <x:c r="D42" s="3"/>
      <x:c r="E42" s="3"/>
      <x:c r="F42" s="3"/>
      <x:c r="G42" s="3"/>
      <x:c r="H42" s="3"/>
    </x:row>
    <x:row r="43" ht="24" customHeight="1">
      <x:c r="A43" s="1"/>
      <x:c r="B43" s="3"/>
      <x:c r="C43" s="3"/>
      <x:c r="D43" s="3"/>
      <x:c r="E43" s="3"/>
      <x:c r="F43" s="3"/>
      <x:c r="G43" s="3"/>
      <x:c r="H43" s="3"/>
    </x:row>
  </x:sheetData>
  <x:conditionalFormatting sqref="C12:C12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85549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33" customHeight="1">
      <x:c r="A2" s="1"/>
      <x:c r="B2" s="45" t="str">
        <x:v>Contribution sensitivity</x:v>
      </x:c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3" t="str">
        <x:v>USD per completed order; formula-based sensitivity.</x:v>
      </x:c>
      <x:c r="C4" s="3"/>
      <x:c r="D4" s="3"/>
      <x:c r="E4" s="3"/>
      <x:c r="F4" s="3"/>
      <x:c r="G4" s="3"/>
      <x:c r="H4" s="3"/>
    </x:row>
    <x:row r="5" ht="24" customHeight="1">
      <x:c r="A5" s="1"/>
      <x:c r="B5" s="3"/>
      <x:c r="C5" s="3"/>
      <x:c r="D5" s="3"/>
      <x:c r="E5" s="3"/>
      <x:c r="F5" s="3"/>
      <x:c r="G5" s="3"/>
      <x:c r="H5" s="3"/>
    </x:row>
    <x:row r="6" ht="24" customHeight="1">
      <x:c r="A6" s="1"/>
      <x:c r="B6" s="33" t="str">
        <x:v>Revenue share / redemption</x:v>
      </x:c>
      <x:c r="C6" s="31" t="n">
        <x:v>0</x:v>
      </x:c>
      <x:c r="D6" s="31" t="n">
        <x:v>0.25</x:v>
      </x:c>
      <x:c r="E6" s="31" t="n">
        <x:v>0.5</x:v>
      </x:c>
      <x:c r="F6" s="31" t="n">
        <x:v>0.75</x:v>
      </x:c>
      <x:c r="G6" s="31" t="n">
        <x:v>1</x:v>
      </x:c>
      <x:c r="H6" s="3"/>
    </x:row>
    <x:row r="7" ht="33" customHeight="1">
      <x:c r="A7" s="1"/>
      <x:c r="B7" s="32" t="n">
        <x:v>0.06</x:v>
      </x:c>
      <x:c r="C7" s="48" t="n">
        <x:f>'Economics'!$C$15*$B7-'Economics'!$C$31-'Economics'!$C$32-'Economics'!$C$33-'Economics'!$C$21*C$6*('Economics'!$C$23-'Economics'!$C$24)</x:f>
        <x:v>6.699999999999998</x:v>
      </x:c>
      <x:c r="D7" s="27" t="n">
        <x:f>'Economics'!$C$15*$B7-'Economics'!$C$31-'Economics'!$C$32-'Economics'!$C$33-'Economics'!$C$21*D$6*('Economics'!$C$23-'Economics'!$C$24)</x:f>
        <x:v>5.799999999999998</x:v>
      </x:c>
      <x:c r="E7" s="27" t="n">
        <x:f>'Economics'!$C$15*$B7-'Economics'!$C$31-'Economics'!$C$32-'Economics'!$C$33-'Economics'!$C$21*E$6*('Economics'!$C$23-'Economics'!$C$24)</x:f>
        <x:v>4.899999999999999</x:v>
      </x:c>
      <x:c r="F7" s="27" t="n">
        <x:f>'Economics'!$C$15*$B7-'Economics'!$C$31-'Economics'!$C$32-'Economics'!$C$33-'Economics'!$C$21*F$6*('Economics'!$C$23-'Economics'!$C$24)</x:f>
        <x:v>3.9999999999999982</x:v>
      </x:c>
      <x:c r="G7" s="27" t="n">
        <x:f>'Economics'!$C$15*$B7-'Economics'!$C$31-'Economics'!$C$32-'Economics'!$C$33-'Economics'!$C$21*G$6*('Economics'!$C$23-'Economics'!$C$24)</x:f>
        <x:v>3.0999999999999983</x:v>
      </x:c>
      <x:c r="H7" s="3"/>
    </x:row>
    <x:row r="8" ht="33" customHeight="1">
      <x:c r="A8" s="1"/>
      <x:c r="B8" s="32" t="n">
        <x:v>0.07</x:v>
      </x:c>
      <x:c r="C8" s="48" t="n">
        <x:f>'Economics'!$C$15*$B8-'Economics'!$C$31-'Economics'!$C$32-'Economics'!$C$33-'Economics'!$C$21*C$6*('Economics'!$C$23-'Economics'!$C$24)</x:f>
        <x:v>10.900000000000002</x:v>
      </x:c>
      <x:c r="D8" s="27" t="n">
        <x:f>'Economics'!$C$15*$B8-'Economics'!$C$31-'Economics'!$C$32-'Economics'!$C$33-'Economics'!$C$21*D$6*('Economics'!$C$23-'Economics'!$C$24)</x:f>
        <x:v>10.000000000000002</x:v>
      </x:c>
      <x:c r="E8" s="27" t="n">
        <x:f>'Economics'!$C$15*$B8-'Economics'!$C$31-'Economics'!$C$32-'Economics'!$C$33-'Economics'!$C$21*E$6*('Economics'!$C$23-'Economics'!$C$24)</x:f>
        <x:v>9.100000000000001</x:v>
      </x:c>
      <x:c r="F8" s="27" t="n">
        <x:f>'Economics'!$C$15*$B8-'Economics'!$C$31-'Economics'!$C$32-'Economics'!$C$33-'Economics'!$C$21*F$6*('Economics'!$C$23-'Economics'!$C$24)</x:f>
        <x:v>8.200000000000003</x:v>
      </x:c>
      <x:c r="G8" s="27" t="n">
        <x:f>'Economics'!$C$15*$B8-'Economics'!$C$31-'Economics'!$C$32-'Economics'!$C$33-'Economics'!$C$21*G$6*('Economics'!$C$23-'Economics'!$C$24)</x:f>
        <x:v>7.3000000000000025</x:v>
      </x:c>
      <x:c r="H8" s="3"/>
    </x:row>
    <x:row r="9" ht="33" customHeight="1">
      <x:c r="A9" s="1"/>
      <x:c r="B9" s="32" t="n">
        <x:v>0.08</x:v>
      </x:c>
      <x:c r="C9" s="48" t="n">
        <x:f>'Economics'!$C$15*$B9-'Economics'!$C$31-'Economics'!$C$32-'Economics'!$C$33-'Economics'!$C$21*C$6*('Economics'!$C$23-'Economics'!$C$24)</x:f>
        <x:v>15.100000000000001</x:v>
      </x:c>
      <x:c r="D9" s="27" t="n">
        <x:f>'Economics'!$C$15*$B9-'Economics'!$C$31-'Economics'!$C$32-'Economics'!$C$33-'Economics'!$C$21*D$6*('Economics'!$C$23-'Economics'!$C$24)</x:f>
        <x:v>14.200000000000001</x:v>
      </x:c>
      <x:c r="E9" s="27" t="n">
        <x:f>'Economics'!$C$15*$B9-'Economics'!$C$31-'Economics'!$C$32-'Economics'!$C$33-'Economics'!$C$21*E$6*('Economics'!$C$23-'Economics'!$C$24)</x:f>
        <x:v>13.3</x:v>
      </x:c>
      <x:c r="F9" s="27" t="n">
        <x:f>'Economics'!$C$15*$B9-'Economics'!$C$31-'Economics'!$C$32-'Economics'!$C$33-'Economics'!$C$21*F$6*('Economics'!$C$23-'Economics'!$C$24)</x:f>
        <x:v>12.400000000000002</x:v>
      </x:c>
      <x:c r="G9" s="27" t="n">
        <x:f>'Economics'!$C$15*$B9-'Economics'!$C$31-'Economics'!$C$32-'Economics'!$C$33-'Economics'!$C$21*G$6*('Economics'!$C$23-'Economics'!$C$24)</x:f>
        <x:v>11.500000000000002</x:v>
      </x:c>
      <x:c r="H9" s="3"/>
    </x:row>
    <x:row r="10" ht="33" customHeight="1">
      <x:c r="A10" s="1"/>
      <x:c r="B10" s="32" t="n">
        <x:v>0.1</x:v>
      </x:c>
      <x:c r="C10" s="48" t="n">
        <x:f>'Economics'!$C$15*$B10-'Economics'!$C$31-'Economics'!$C$32-'Economics'!$C$33-'Economics'!$C$21*C$6*('Economics'!$C$23-'Economics'!$C$24)</x:f>
        <x:v>23.5</x:v>
      </x:c>
      <x:c r="D10" s="27" t="n">
        <x:f>'Economics'!$C$15*$B10-'Economics'!$C$31-'Economics'!$C$32-'Economics'!$C$33-'Economics'!$C$21*D$6*('Economics'!$C$23-'Economics'!$C$24)</x:f>
        <x:v>22.6</x:v>
      </x:c>
      <x:c r="E10" s="27" t="n">
        <x:f>'Economics'!$C$15*$B10-'Economics'!$C$31-'Economics'!$C$32-'Economics'!$C$33-'Economics'!$C$21*E$6*('Economics'!$C$23-'Economics'!$C$24)</x:f>
        <x:v>21.7</x:v>
      </x:c>
      <x:c r="F10" s="27" t="n">
        <x:f>'Economics'!$C$15*$B10-'Economics'!$C$31-'Economics'!$C$32-'Economics'!$C$33-'Economics'!$C$21*F$6*('Economics'!$C$23-'Economics'!$C$24)</x:f>
        <x:v>20.8</x:v>
      </x:c>
      <x:c r="G10" s="27" t="n">
        <x:f>'Economics'!$C$15*$B10-'Economics'!$C$31-'Economics'!$C$32-'Economics'!$C$33-'Economics'!$C$21*G$6*('Economics'!$C$23-'Economics'!$C$24)</x:f>
        <x:v>19.9</x:v>
      </x:c>
      <x:c r="H10" s="3"/>
    </x:row>
    <x:row r="11" ht="33" customHeight="1">
      <x:c r="A11" s="1"/>
      <x:c r="B11" s="32" t="n">
        <x:v>0.12</x:v>
      </x:c>
      <x:c r="C11" s="48" t="n">
        <x:f>'Economics'!$C$15*$B11-'Economics'!$C$31-'Economics'!$C$32-'Economics'!$C$33-'Economics'!$C$21*C$6*('Economics'!$C$23-'Economics'!$C$24)</x:f>
        <x:v>31.899999999999995</x:v>
      </x:c>
      <x:c r="D11" s="27" t="n">
        <x:f>'Economics'!$C$15*$B11-'Economics'!$C$31-'Economics'!$C$32-'Economics'!$C$33-'Economics'!$C$21*D$6*('Economics'!$C$23-'Economics'!$C$24)</x:f>
        <x:v>30.999999999999996</x:v>
      </x:c>
      <x:c r="E11" s="27" t="n">
        <x:f>'Economics'!$C$15*$B11-'Economics'!$C$31-'Economics'!$C$32-'Economics'!$C$33-'Economics'!$C$21*E$6*('Economics'!$C$23-'Economics'!$C$24)</x:f>
        <x:v>30.099999999999994</x:v>
      </x:c>
      <x:c r="F11" s="27" t="n">
        <x:f>'Economics'!$C$15*$B11-'Economics'!$C$31-'Economics'!$C$32-'Economics'!$C$33-'Economics'!$C$21*F$6*('Economics'!$C$23-'Economics'!$C$24)</x:f>
        <x:v>29.199999999999996</x:v>
      </x:c>
      <x:c r="G11" s="27" t="n">
        <x:f>'Economics'!$C$15*$B11-'Economics'!$C$31-'Economics'!$C$32-'Economics'!$C$33-'Economics'!$C$21*G$6*('Economics'!$C$23-'Economics'!$C$24)</x:f>
        <x:v>28.299999999999994</x:v>
      </x:c>
      <x:c r="H11" s="3"/>
    </x:row>
    <x:row r="12" ht="24" customHeight="1">
      <x:c r="A12" s="1"/>
      <x:c r="B12" s="3"/>
      <x:c r="C12" s="38"/>
      <x:c r="D12" s="3"/>
      <x:c r="E12" s="3"/>
      <x:c r="F12" s="3"/>
      <x:c r="G12" s="3"/>
      <x:c r="H12" s="3"/>
    </x:row>
    <x:row r="13" ht="24" customHeight="1">
      <x:c r="A13" s="1"/>
      <x:c r="B13" s="3"/>
      <x:c r="C13" s="38"/>
      <x:c r="D13" s="3"/>
      <x:c r="E13" s="3"/>
      <x:c r="F13" s="3"/>
      <x:c r="G13" s="3"/>
      <x:c r="H13" s="3"/>
    </x:row>
    <x:row r="14" ht="24" customHeight="1">
      <x:c r="A14" s="1"/>
      <x:c r="B14" s="3" t="str">
        <x:v>Base-case intersection</x:v>
      </x:c>
      <x:c r="C14" s="49" t="n">
        <x:f>E9-'Economics'!C7</x:f>
        <x:v>0</x:v>
      </x:c>
      <x:c r="D14" s="3"/>
      <x:c r="E14" s="3" t="str">
        <x:v>Expected difference: 0.00</x:v>
      </x:c>
      <x:c r="F14" s="3"/>
      <x:c r="G14" s="3"/>
      <x:c r="H14" s="3"/>
    </x:row>
    <x:row r="15" ht="24" customHeight="1">
      <x:c r="A15" s="1"/>
      <x:c r="B15" s="3"/>
      <x:c r="C15" s="38"/>
      <x:c r="D15" s="3"/>
      <x:c r="E15" s="3"/>
      <x:c r="F15" s="3"/>
      <x:c r="G15" s="3"/>
      <x:c r="H15" s="3"/>
    </x:row>
    <x:row r="16" ht="24" customHeight="1">
      <x:c r="A16" s="1"/>
      <x:c r="B16" s="3"/>
      <x:c r="C16" s="38"/>
      <x:c r="D16" s="3"/>
      <x:c r="E16" s="3"/>
      <x:c r="F16" s="3"/>
      <x:c r="G16" s="3"/>
      <x:c r="H16" s="3"/>
    </x:row>
    <x:row r="17" ht="24" customHeight="1">
      <x:c r="A17" s="1"/>
      <x:c r="B17" s="3" t="str">
        <x:v>Higher redemption increases reimbursement cost.</x:v>
      </x:c>
      <x:c r="C17" s="38"/>
      <x:c r="D17" s="3"/>
      <x:c r="E17" s="3"/>
      <x:c r="F17" s="3"/>
      <x:c r="G17" s="3"/>
      <x:c r="H17" s="3"/>
    </x:row>
    <x:row r="18" ht="24" customHeight="1">
      <x:c r="A18" s="1"/>
      <x:c r="B18" s="3" t="str">
        <x:v>Higher retained revenue helps fund rewards, but requires partner agreement.</x:v>
      </x:c>
      <x:c r="C18" s="38"/>
      <x:c r="D18" s="3"/>
      <x:c r="E18" s="3"/>
      <x:c r="F18" s="3"/>
      <x:c r="G18" s="3"/>
      <x:c r="H18" s="3"/>
    </x:row>
    <x:row r="19" ht="24" customHeight="1">
      <x:c r="A19" s="1"/>
      <x:c r="B19" s="3"/>
      <x:c r="C19" s="38"/>
      <x:c r="D19" s="3"/>
      <x:c r="E19" s="3"/>
      <x:c r="F19" s="3"/>
      <x:c r="G19" s="3"/>
      <x:c r="H19" s="3"/>
    </x:row>
    <x:row r="20" ht="24" customHeight="1">
      <x:c r="A20" s="1"/>
      <x:c r="B20" s="3" t="str">
        <x:v>Fixed overhead and acquisition costs are excluded from this per-order view.</x:v>
      </x:c>
      <x:c r="C20" s="38"/>
      <x:c r="D20" s="3"/>
      <x:c r="E20" s="3"/>
      <x:c r="F20" s="3"/>
      <x:c r="G20" s="3"/>
      <x:c r="H20" s="3"/>
    </x:row>
    <x:row r="21" ht="24" customHeight="1">
      <x:c r="A21" s="1"/>
      <x:c r="B21" s="3" t="str">
        <x:v>Sensitivity inputs are hypothetical scenarios, not observed results.</x:v>
      </x:c>
      <x:c r="C21" s="38"/>
      <x:c r="D21" s="3"/>
      <x:c r="E21" s="3"/>
      <x:c r="F21" s="3"/>
      <x:c r="G21" s="3"/>
      <x:c r="H21" s="3"/>
    </x:row>
    <x:row r="22" ht="24" customHeight="1">
      <x:c r="A22" s="1"/>
      <x:c r="B22" s="3"/>
      <x:c r="C22" s="38"/>
      <x:c r="D22" s="3"/>
      <x:c r="E22" s="3"/>
      <x:c r="F22" s="3"/>
      <x:c r="G22" s="3"/>
      <x:c r="H22" s="3"/>
    </x:row>
    <x:row r="23" ht="24" customHeight="1">
      <x:c r="A23" s="1"/>
      <x:c r="B23" s="3"/>
      <x:c r="C23" s="38"/>
      <x:c r="D23" s="3"/>
      <x:c r="E23" s="3"/>
      <x:c r="F23" s="3"/>
      <x:c r="G23" s="3"/>
      <x:c r="H23" s="3"/>
    </x:row>
    <x:row r="24" ht="24" customHeight="1">
      <x:c r="A24" s="1"/>
      <x:c r="B24" s="3"/>
      <x:c r="C24" s="38"/>
      <x:c r="D24" s="3"/>
      <x:c r="E24" s="3"/>
      <x:c r="F24" s="3"/>
      <x:c r="G24" s="3"/>
      <x:c r="H24" s="3"/>
    </x:row>
    <x:row r="25">
      <x:c r="C25" s="50"/>
    </x:row>
    <x:row r="26">
      <x:c r="C26" s="50"/>
    </x:row>
    <x:row r="27">
      <x:c r="C27" s="50"/>
    </x:row>
    <x:row r="28">
      <x:c r="C28" s="50"/>
    </x:row>
    <x:row r="29">
      <x:c r="C29" s="50"/>
    </x:row>
    <x:row r="30">
      <x:c r="C30" s="50"/>
    </x:row>
    <x:row r="31">
      <x:c r="C31" s="50"/>
    </x:row>
    <x:row r="32">
      <x:c r="C32" s="50"/>
    </x:row>
    <x:row r="33">
      <x:c r="C33" s="50"/>
    </x:row>
    <x:row r="34">
      <x:c r="C34" s="50"/>
    </x:row>
    <x:row r="35">
      <x:c r="C35" s="50"/>
    </x:row>
    <x:row r="36">
      <x:c r="C36" s="50"/>
    </x:row>
    <x:row r="37">
      <x:c r="C37" s="50"/>
    </x:row>
  </x:sheetData>
  <x:conditionalFormatting sqref="C7:G11">
    <x:cfRule type="colorScale" priority="1">
      <x:colorScale>
        <x:cfvo type="min"/>
        <x:cfvo type="percentile" val="50"/>
        <x:cfvo type="max"/>
        <x:color rgb="FFF4D4C4"/>
        <x:color rgb="FFF7F4E9"/>
        <x:color rgb="FFB8D2BE"/>
      </x:colorScale>
    </x:cfRule>
  </x:conditionalFormatting>
  <x:pageMargins left="0.7" right="0.7" top="0.75" bottom="0.75" header="0.3" footer="0.3"/>
</x:worksheet>
</file>